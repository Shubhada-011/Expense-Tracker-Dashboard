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SHUBHADA\EXCEL\"/>
    </mc:Choice>
  </mc:AlternateContent>
  <xr:revisionPtr revIDLastSave="0" documentId="13_ncr:1_{53E42CD4-25CA-457B-8DEC-D923F7642955}" xr6:coauthVersionLast="47" xr6:coauthVersionMax="47" xr10:uidLastSave="{00000000-0000-0000-0000-000000000000}"/>
  <bookViews>
    <workbookView xWindow="-108" yWindow="-108" windowWidth="23256" windowHeight="12456" activeTab="2" xr2:uid="{CEE71A34-E1DB-4F6C-9311-413C007085FE}"/>
  </bookViews>
  <sheets>
    <sheet name="DATA &amp; CALCULATIONS" sheetId="1" r:id="rId1"/>
    <sheet name="PIVOT TABLES" sheetId="5" r:id="rId2"/>
    <sheet name="DASHBOARD" sheetId="3" r:id="rId3"/>
    <sheet name="INSIGHTS" sheetId="7" r:id="rId4"/>
  </sheets>
  <definedNames>
    <definedName name="_xlnm._FilterDatabase" localSheetId="0" hidden="1">'DATA &amp; CALCULATIONS'!$A$4:$D$24</definedName>
    <definedName name="Slicer_CATEGORY">#N/A</definedName>
    <definedName name="Slicer_DATE">#N/A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 i="1" l="1"/>
  <c r="I10" i="1"/>
  <c r="I5" i="1"/>
  <c r="I6" i="1"/>
  <c r="I8" i="1"/>
  <c r="I11" i="1"/>
  <c r="I9" i="1"/>
  <c r="F17" i="1"/>
  <c r="F14" i="1"/>
  <c r="F11" i="1"/>
  <c r="F8" i="1"/>
  <c r="F5" i="1"/>
</calcChain>
</file>

<file path=xl/sharedStrings.xml><?xml version="1.0" encoding="utf-8"?>
<sst xmlns="http://schemas.openxmlformats.org/spreadsheetml/2006/main" count="101" uniqueCount="29">
  <si>
    <t>DATE</t>
  </si>
  <si>
    <t>DESCRIPTION</t>
  </si>
  <si>
    <t>AMOUNT</t>
  </si>
  <si>
    <t>BILLS</t>
  </si>
  <si>
    <t xml:space="preserve">FOOD &amp; DINING </t>
  </si>
  <si>
    <t>RENT</t>
  </si>
  <si>
    <t xml:space="preserve">SHOPPING </t>
  </si>
  <si>
    <t>TRASNPORT</t>
  </si>
  <si>
    <t>HEALTHCARE</t>
  </si>
  <si>
    <t>INSAURANCE</t>
  </si>
  <si>
    <t>WATER BIILL</t>
  </si>
  <si>
    <t>LUNCH WD FAM</t>
  </si>
  <si>
    <t xml:space="preserve">SHOP 1 RENT PAID </t>
  </si>
  <si>
    <t>AIRPODS</t>
  </si>
  <si>
    <t>DELHI TO MUMBAI</t>
  </si>
  <si>
    <t>HEALTH INSAURANCE</t>
  </si>
  <si>
    <t>FAM CHECKUP</t>
  </si>
  <si>
    <t>CATEGORY</t>
  </si>
  <si>
    <t>Total_expense</t>
  </si>
  <si>
    <t>Total_transactions</t>
  </si>
  <si>
    <t>AVG amount</t>
  </si>
  <si>
    <t>MAX</t>
  </si>
  <si>
    <t>MIN</t>
  </si>
  <si>
    <t>Row Labels</t>
  </si>
  <si>
    <t>Grand Total</t>
  </si>
  <si>
    <t>Sum of AMOUNT</t>
  </si>
  <si>
    <t>Count of AMOUNT</t>
  </si>
  <si>
    <t>Category</t>
  </si>
  <si>
    <t>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</si>
</sst>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quot;₹&quot;\ #,##0.00"/>
  </numFmts>
  <fonts count="4" x14ac:knownFonts="1">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s>
  <fills count="3">
    <fill>
      <patternFill patternType="none"/>
    </fill>
    <fill>
      <patternFill patternType="gray125"/>
    </fill>
    <fill>
      <patternFill patternType="solid">
        <fgColor theme="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2">
    <xf numFmtId="0" fontId="0" fillId="0" borderId="0" xfId="0"/>
    <xf numFmtId="0" fontId="0" fillId="0" borderId="1" xfId="0" applyBorder="1"/>
    <xf numFmtId="14" fontId="0" fillId="0" borderId="2" xfId="0" applyNumberFormat="1" applyBorder="1"/>
    <xf numFmtId="164" fontId="0" fillId="0" borderId="3" xfId="0" applyNumberFormat="1" applyBorder="1"/>
    <xf numFmtId="14" fontId="0" fillId="0" borderId="7" xfId="0" applyNumberFormat="1" applyBorder="1"/>
    <xf numFmtId="0" fontId="0" fillId="0" borderId="8" xfId="0" applyBorder="1"/>
    <xf numFmtId="164" fontId="0" fillId="0" borderId="9" xfId="0" applyNumberFormat="1" applyBorder="1"/>
    <xf numFmtId="165" fontId="1" fillId="0" borderId="1" xfId="0" applyNumberFormat="1" applyFont="1" applyBorder="1"/>
    <xf numFmtId="0" fontId="0" fillId="2" borderId="4" xfId="0"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16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0" xfId="0" applyNumberFormat="1"/>
    <xf numFmtId="0" fontId="1" fillId="0" borderId="1" xfId="0" applyFont="1" applyBorder="1"/>
    <xf numFmtId="164" fontId="1" fillId="0" borderId="1" xfId="0" applyNumberFormat="1" applyFont="1" applyBorder="1"/>
    <xf numFmtId="0" fontId="2" fillId="2" borderId="1" xfId="0" applyFont="1" applyFill="1" applyBorder="1"/>
    <xf numFmtId="0" fontId="0" fillId="0" borderId="1" xfId="0" applyFont="1" applyBorder="1"/>
    <xf numFmtId="0" fontId="3" fillId="2" borderId="1" xfId="0" applyFont="1" applyFill="1" applyBorder="1"/>
    <xf numFmtId="165" fontId="0" fillId="0" borderId="1" xfId="0" applyNumberFormat="1" applyBorder="1"/>
  </cellXfs>
  <cellStyles count="1">
    <cellStyle name="Normal" xfId="0" builtinId="0"/>
  </cellStyles>
  <dxfs count="8">
    <dxf>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quot;₹&quot;\ #,##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[EXPENSE TRACKER.xlsx]PIVOT TABLES!PivotTable1</c:name>
    <c:fmtId val="2"/>
  </c:pivotSource>
  <c:chart>
    <c:title>
      <c:tx>
        <c:rich>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r>
              <a:rPr lang="en-US">
                <a:solidFill>
                  <a:schemeClr val="accent1">
                    <a:lumMod val="75000"/>
                  </a:schemeClr>
                </a:solidFill>
              </a:rPr>
              <a:t>Expense</a:t>
            </a:r>
            <a:r>
              <a:rPr lang="en-US" baseline="0">
                <a:solidFill>
                  <a:schemeClr val="accent1">
                    <a:lumMod val="75000"/>
                  </a:schemeClr>
                </a:solidFill>
              </a:rPr>
              <a:t>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TABLES'!$A$4:$A$11</c:f>
              <c:strCache>
                <c:ptCount val="7"/>
                <c:pt idx="0">
                  <c:v>BILLS</c:v>
                </c:pt>
                <c:pt idx="1">
                  <c:v>FOOD &amp; DINING </c:v>
                </c:pt>
                <c:pt idx="2">
                  <c:v>HEALTHCARE</c:v>
                </c:pt>
                <c:pt idx="3">
                  <c:v>INSAURANCE</c:v>
                </c:pt>
                <c:pt idx="4">
                  <c:v>RENT</c:v>
                </c:pt>
                <c:pt idx="5">
                  <c:v>SHOPPING </c:v>
                </c:pt>
                <c:pt idx="6">
                  <c:v>TRASNPORT</c:v>
                </c:pt>
              </c:strCache>
            </c:strRef>
          </c:cat>
          <c:val>
            <c:numRef>
              <c:f>'PIVOT TABLES'!$B$4:$B$11</c:f>
              <c:numCache>
                <c:formatCode>"₹"\ #,##0</c:formatCode>
                <c:ptCount val="7"/>
                <c:pt idx="0">
                  <c:v>9313</c:v>
                </c:pt>
                <c:pt idx="1">
                  <c:v>11422</c:v>
                </c:pt>
                <c:pt idx="2">
                  <c:v>10069</c:v>
                </c:pt>
                <c:pt idx="3">
                  <c:v>3065</c:v>
                </c:pt>
                <c:pt idx="4">
                  <c:v>8610</c:v>
                </c:pt>
                <c:pt idx="5">
                  <c:v>13168</c:v>
                </c:pt>
                <c:pt idx="6">
                  <c:v>11687</c:v>
                </c:pt>
              </c:numCache>
            </c:numRef>
          </c:val>
          <c:extLst>
            <c:ext xmlns:c16="http://schemas.microsoft.com/office/drawing/2014/chart" uri="{C3380CC4-5D6E-409C-BE32-E72D297353CC}">
              <c16:uniqueId val="{00000000-9D16-4F24-9BB7-4727D8F5D341}"/>
            </c:ext>
          </c:extLst>
        </c:ser>
        <c:dLbls>
          <c:dLblPos val="outEnd"/>
          <c:showLegendKey val="0"/>
          <c:showVal val="1"/>
          <c:showCatName val="0"/>
          <c:showSerName val="0"/>
          <c:showPercent val="0"/>
          <c:showBubbleSize val="0"/>
        </c:dLbls>
        <c:gapWidth val="100"/>
        <c:axId val="661326352"/>
        <c:axId val="2123417520"/>
      </c:barChart>
      <c:catAx>
        <c:axId val="66132635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3417520"/>
        <c:crosses val="autoZero"/>
        <c:auto val="1"/>
        <c:lblAlgn val="ctr"/>
        <c:lblOffset val="100"/>
        <c:noMultiLvlLbl val="0"/>
      </c:catAx>
      <c:valAx>
        <c:axId val="2123417520"/>
        <c:scaling>
          <c:orientation val="minMax"/>
        </c:scaling>
        <c:delete val="0"/>
        <c:axPos val="b"/>
        <c:majorGridlines>
          <c:spPr>
            <a:ln w="9525" cap="flat" cmpd="sng" algn="ctr">
              <a:solidFill>
                <a:schemeClr val="tx2">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132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[EXPENSE TRACKER.xlsx]PIVOT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75000"/>
                  </a:schemeClr>
                </a:solidFill>
              </a:rPr>
              <a:t>Daily Expenses</a:t>
            </a:r>
          </a:p>
        </c:rich>
      </c:tx>
      <c:layout>
        <c:manualLayout>
          <c:xMode val="edge"/>
          <c:yMode val="edge"/>
          <c:x val="0.34358558067861888"/>
          <c:y val="3.63960289162151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TABLES'!$D$4:$D$13</c:f>
              <c:strCache>
                <c:ptCount val="9"/>
                <c:pt idx="0">
                  <c:v>07-12-2023</c:v>
                </c:pt>
                <c:pt idx="1">
                  <c:v>08-12-2023</c:v>
                </c:pt>
                <c:pt idx="2">
                  <c:v>09-12-2023</c:v>
                </c:pt>
                <c:pt idx="3">
                  <c:v>10-12-2023</c:v>
                </c:pt>
                <c:pt idx="4">
                  <c:v>11-12-2023</c:v>
                </c:pt>
                <c:pt idx="5">
                  <c:v>12-12-2023</c:v>
                </c:pt>
                <c:pt idx="6">
                  <c:v>13-12-2023</c:v>
                </c:pt>
                <c:pt idx="7">
                  <c:v>15-12-2023</c:v>
                </c:pt>
                <c:pt idx="8">
                  <c:v>16-12-2023</c:v>
                </c:pt>
              </c:strCache>
            </c:strRef>
          </c:cat>
          <c:val>
            <c:numRef>
              <c:f>'PIVOT TABLES'!$E$4:$E$13</c:f>
              <c:numCache>
                <c:formatCode>"₹"\ #,##0</c:formatCode>
                <c:ptCount val="9"/>
                <c:pt idx="0">
                  <c:v>11492</c:v>
                </c:pt>
                <c:pt idx="1">
                  <c:v>4059</c:v>
                </c:pt>
                <c:pt idx="2">
                  <c:v>6303</c:v>
                </c:pt>
                <c:pt idx="3">
                  <c:v>4399</c:v>
                </c:pt>
                <c:pt idx="4">
                  <c:v>7682</c:v>
                </c:pt>
                <c:pt idx="5">
                  <c:v>9041</c:v>
                </c:pt>
                <c:pt idx="6">
                  <c:v>9238</c:v>
                </c:pt>
                <c:pt idx="7">
                  <c:v>3876</c:v>
                </c:pt>
                <c:pt idx="8">
                  <c:v>11244</c:v>
                </c:pt>
              </c:numCache>
            </c:numRef>
          </c:val>
          <c:smooth val="0"/>
          <c:extLst>
            <c:ext xmlns:c16="http://schemas.microsoft.com/office/drawing/2014/chart" uri="{C3380CC4-5D6E-409C-BE32-E72D297353CC}">
              <c16:uniqueId val="{00000000-EEAA-4456-BE0D-3516EC9BC930}"/>
            </c:ext>
          </c:extLst>
        </c:ser>
        <c:dLbls>
          <c:showLegendKey val="0"/>
          <c:showVal val="0"/>
          <c:showCatName val="0"/>
          <c:showSerName val="0"/>
          <c:showPercent val="0"/>
          <c:showBubbleSize val="0"/>
        </c:dLbls>
        <c:marker val="1"/>
        <c:smooth val="0"/>
        <c:axId val="670179536"/>
        <c:axId val="2123417040"/>
      </c:lineChart>
      <c:catAx>
        <c:axId val="67017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417040"/>
        <c:crosses val="autoZero"/>
        <c:auto val="1"/>
        <c:lblAlgn val="ctr"/>
        <c:lblOffset val="100"/>
        <c:noMultiLvlLbl val="0"/>
      </c:catAx>
      <c:valAx>
        <c:axId val="21234170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17953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[EXPENSE TRACKER.xlsx]PIVOT TABLES!PivotTable6</c:name>
    <c:fmtId val="2"/>
  </c:pivotSource>
  <c:chart>
    <c:title>
      <c:tx>
        <c:rich>
          <a:bodyPr rot="0" spcFirstLastPara="1" vertOverflow="ellipsis" vert="horz" wrap="square" anchor="ctr" anchorCtr="1"/>
          <a:lstStyle/>
          <a:p>
            <a:pPr>
              <a:defRPr sz="1800" b="1" i="0" u="none" strike="noStrike" kern="1200" cap="all" spc="150" baseline="0">
                <a:solidFill>
                  <a:schemeClr val="accent1">
                    <a:lumMod val="75000"/>
                  </a:schemeClr>
                </a:solidFill>
                <a:latin typeface="+mn-lt"/>
                <a:ea typeface="+mn-ea"/>
                <a:cs typeface="+mn-cs"/>
              </a:defRPr>
            </a:pPr>
            <a:r>
              <a:rPr lang="en-IN" sz="1800" b="1" i="0" u="none" strike="noStrike" cap="all" baseline="0"/>
              <a:t>Expense Distribution (%)</a:t>
            </a:r>
            <a:endParaRPr lang="en-US" sz="12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accent1">
                  <a:lumMod val="75000"/>
                </a:schemeClr>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12"/>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pivotFmt>
      <c:pivotFmt>
        <c:idx val="13"/>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pivotFmt>
      <c:pivotFmt>
        <c:idx val="14"/>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pivotFmt>
      <c:pivotFmt>
        <c:idx val="1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16"/>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pivotFmt>
    </c:pivotFmts>
    <c:plotArea>
      <c:layout/>
      <c:pieChart>
        <c:varyColors val="1"/>
        <c:ser>
          <c:idx val="0"/>
          <c:order val="0"/>
          <c:tx>
            <c:strRef>
              <c:f>'PIVOT TABLES'!$E$16</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8D24-449C-A6D6-029345488195}"/>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8D24-449C-A6D6-029345488195}"/>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8D24-449C-A6D6-029345488195}"/>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8D24-449C-A6D6-029345488195}"/>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8D24-449C-A6D6-029345488195}"/>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8D24-449C-A6D6-029345488195}"/>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8D24-449C-A6D6-0293454881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TABLES'!$D$17:$D$24</c:f>
              <c:strCache>
                <c:ptCount val="7"/>
                <c:pt idx="0">
                  <c:v>BILLS</c:v>
                </c:pt>
                <c:pt idx="1">
                  <c:v>FOOD &amp; DINING </c:v>
                </c:pt>
                <c:pt idx="2">
                  <c:v>HEALTHCARE</c:v>
                </c:pt>
                <c:pt idx="3">
                  <c:v>INSAURANCE</c:v>
                </c:pt>
                <c:pt idx="4">
                  <c:v>RENT</c:v>
                </c:pt>
                <c:pt idx="5">
                  <c:v>SHOPPING </c:v>
                </c:pt>
                <c:pt idx="6">
                  <c:v>TRASNPORT</c:v>
                </c:pt>
              </c:strCache>
            </c:strRef>
          </c:cat>
          <c:val>
            <c:numRef>
              <c:f>'PIVOT TABLES'!$E$17:$E$24</c:f>
              <c:numCache>
                <c:formatCode>"₹"\ #,##0</c:formatCode>
                <c:ptCount val="7"/>
                <c:pt idx="0">
                  <c:v>9313</c:v>
                </c:pt>
                <c:pt idx="1">
                  <c:v>11422</c:v>
                </c:pt>
                <c:pt idx="2">
                  <c:v>10069</c:v>
                </c:pt>
                <c:pt idx="3">
                  <c:v>3065</c:v>
                </c:pt>
                <c:pt idx="4">
                  <c:v>8610</c:v>
                </c:pt>
                <c:pt idx="5">
                  <c:v>13168</c:v>
                </c:pt>
                <c:pt idx="6">
                  <c:v>11687</c:v>
                </c:pt>
              </c:numCache>
            </c:numRef>
          </c:val>
          <c:extLst>
            <c:ext xmlns:c16="http://schemas.microsoft.com/office/drawing/2014/chart" uri="{C3380CC4-5D6E-409C-BE32-E72D297353CC}">
              <c16:uniqueId val="{0000000E-8D24-449C-A6D6-02934548819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514728</xdr:colOff>
      <xdr:row>2</xdr:row>
      <xdr:rowOff>52641</xdr:rowOff>
    </xdr:from>
    <xdr:to>
      <xdr:col>23</xdr:col>
      <xdr:colOff>136839</xdr:colOff>
      <xdr:row>28</xdr:row>
      <xdr:rowOff>163054</xdr:rowOff>
    </xdr:to>
    <xdr:grpSp>
      <xdr:nvGrpSpPr>
        <xdr:cNvPr id="27" name="Group 26">
          <a:extLst>
            <a:ext uri="{FF2B5EF4-FFF2-40B4-BE49-F238E27FC236}">
              <a16:creationId xmlns:a16="http://schemas.microsoft.com/office/drawing/2014/main" id="{31CE36E6-D346-17FC-DDB0-BC7B474C9B11}"/>
            </a:ext>
          </a:extLst>
        </xdr:cNvPr>
        <xdr:cNvGrpSpPr/>
      </xdr:nvGrpSpPr>
      <xdr:grpSpPr>
        <a:xfrm>
          <a:off x="514728" y="417766"/>
          <a:ext cx="13679424" cy="4857038"/>
          <a:chOff x="514728" y="422096"/>
          <a:chExt cx="13607505" cy="4913322"/>
        </a:xfrm>
      </xdr:grpSpPr>
      <xdr:grpSp>
        <xdr:nvGrpSpPr>
          <xdr:cNvPr id="24" name="Group 23">
            <a:extLst>
              <a:ext uri="{FF2B5EF4-FFF2-40B4-BE49-F238E27FC236}">
                <a16:creationId xmlns:a16="http://schemas.microsoft.com/office/drawing/2014/main" id="{6FE58596-0DA5-1709-C9CF-C69462123FD0}"/>
              </a:ext>
            </a:extLst>
          </xdr:cNvPr>
          <xdr:cNvGrpSpPr/>
        </xdr:nvGrpSpPr>
        <xdr:grpSpPr>
          <a:xfrm>
            <a:off x="514728" y="422096"/>
            <a:ext cx="13607505" cy="4913322"/>
            <a:chOff x="406970" y="75733"/>
            <a:chExt cx="13607505" cy="4913322"/>
          </a:xfrm>
        </xdr:grpSpPr>
        <xdr:sp macro="" textlink="">
          <xdr:nvSpPr>
            <xdr:cNvPr id="2" name="Rectangle: Rounded Corners 1">
              <a:extLst>
                <a:ext uri="{FF2B5EF4-FFF2-40B4-BE49-F238E27FC236}">
                  <a16:creationId xmlns:a16="http://schemas.microsoft.com/office/drawing/2014/main" id="{E11F178F-AD1F-C239-E50A-5D10CC701B91}"/>
                </a:ext>
              </a:extLst>
            </xdr:cNvPr>
            <xdr:cNvSpPr/>
          </xdr:nvSpPr>
          <xdr:spPr>
            <a:xfrm>
              <a:off x="406970" y="75733"/>
              <a:ext cx="13607505" cy="4913322"/>
            </a:xfrm>
            <a:prstGeom prst="roundRect">
              <a:avLst/>
            </a:prstGeom>
            <a:solidFill>
              <a:schemeClr val="accent5">
                <a:alpha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sp macro="" textlink="">
          <xdr:nvSpPr>
            <xdr:cNvPr id="3" name="Rectangle 2">
              <a:extLst>
                <a:ext uri="{FF2B5EF4-FFF2-40B4-BE49-F238E27FC236}">
                  <a16:creationId xmlns:a16="http://schemas.microsoft.com/office/drawing/2014/main" id="{782CED1B-DEA4-482F-9CE5-E0DBB14341B7}"/>
                </a:ext>
              </a:extLst>
            </xdr:cNvPr>
            <xdr:cNvSpPr/>
          </xdr:nvSpPr>
          <xdr:spPr>
            <a:xfrm>
              <a:off x="960601" y="206034"/>
              <a:ext cx="3927210" cy="556203"/>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 </a:t>
              </a:r>
              <a:r>
                <a:rPr lang="en-IN" sz="2800" i="1">
                  <a:latin typeface="Arial Rounded MT Bold" panose="020F0704030504030204" pitchFamily="34" charset="0"/>
                </a:rPr>
                <a:t>EXPENSE TRACKER</a:t>
              </a:r>
            </a:p>
          </xdr:txBody>
        </xdr:sp>
        <xdr:sp macro="" textlink="'DATA &amp; CALCULATIONS'!F8">
          <xdr:nvSpPr>
            <xdr:cNvPr id="6" name="Rectangle: Rounded Corners 5">
              <a:extLst>
                <a:ext uri="{FF2B5EF4-FFF2-40B4-BE49-F238E27FC236}">
                  <a16:creationId xmlns:a16="http://schemas.microsoft.com/office/drawing/2014/main" id="{8B0E3807-4EF7-3E4E-02EE-11A1DD3E5C67}"/>
                </a:ext>
              </a:extLst>
            </xdr:cNvPr>
            <xdr:cNvSpPr/>
          </xdr:nvSpPr>
          <xdr:spPr>
            <a:xfrm>
              <a:off x="810224" y="2247830"/>
              <a:ext cx="1488263" cy="808888"/>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endParaRPr lang="en-US" sz="1160" b="1" i="0" u="none" strike="noStrike">
                <a:solidFill>
                  <a:srgbClr val="000000"/>
                </a:solidFill>
                <a:latin typeface="Calibri"/>
                <a:ea typeface="Calibri"/>
                <a:cs typeface="Calibri"/>
              </a:endParaRPr>
            </a:p>
            <a:p>
              <a:pPr algn="ctr"/>
              <a:r>
                <a:rPr lang="en-US" sz="1160" b="1" i="0" u="none" strike="noStrike">
                  <a:solidFill>
                    <a:srgbClr val="000000"/>
                  </a:solidFill>
                  <a:latin typeface="Calibri"/>
                  <a:ea typeface="Calibri"/>
                  <a:cs typeface="Calibri"/>
                </a:rPr>
                <a:t>Total Transactions  </a:t>
              </a:r>
              <a:fld id="{DA3EFC4A-ACED-4CB6-85F4-0FB93577ACF0}" type="TxLink">
                <a:rPr lang="en-US" sz="1160" b="1" i="0" u="none" strike="noStrike">
                  <a:solidFill>
                    <a:srgbClr val="000000"/>
                  </a:solidFill>
                  <a:latin typeface="Calibri"/>
                  <a:ea typeface="Calibri"/>
                  <a:cs typeface="Calibri"/>
                </a:rPr>
                <a:pPr algn="ctr"/>
                <a:t>20</a:t>
              </a:fld>
              <a:endParaRPr lang="en-IN" sz="1160" b="1"/>
            </a:p>
          </xdr:txBody>
        </xdr:sp>
        <xdr:sp macro="" textlink="'DATA &amp; CALCULATIONS'!F5">
          <xdr:nvSpPr>
            <xdr:cNvPr id="7" name="Rectangle: Rounded Corners 6">
              <a:extLst>
                <a:ext uri="{FF2B5EF4-FFF2-40B4-BE49-F238E27FC236}">
                  <a16:creationId xmlns:a16="http://schemas.microsoft.com/office/drawing/2014/main" id="{56FB823C-F196-406C-A3AF-790354947D48}"/>
                </a:ext>
              </a:extLst>
            </xdr:cNvPr>
            <xdr:cNvSpPr/>
          </xdr:nvSpPr>
          <xdr:spPr>
            <a:xfrm>
              <a:off x="877095" y="1016944"/>
              <a:ext cx="1452498" cy="79800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US" sz="1200" b="1" i="0" u="none" strike="noStrike">
                  <a:solidFill>
                    <a:srgbClr val="000000"/>
                  </a:solidFill>
                  <a:latin typeface="Calibri"/>
                  <a:ea typeface="Calibri"/>
                  <a:cs typeface="Calibri"/>
                </a:rPr>
                <a:t>Total Expense</a:t>
              </a:r>
            </a:p>
            <a:p>
              <a:pPr algn="ctr"/>
              <a:r>
                <a:rPr lang="en-US" sz="1200" b="1" i="0" u="none" strike="noStrike">
                  <a:solidFill>
                    <a:srgbClr val="000000"/>
                  </a:solidFill>
                  <a:latin typeface="Calibri"/>
                  <a:ea typeface="Calibri"/>
                  <a:cs typeface="Calibri"/>
                </a:rPr>
                <a:t>         </a:t>
              </a:r>
              <a:fld id="{2F909DAE-F3B3-4031-85CC-A77F07FC0304}" type="TxLink">
                <a:rPr lang="en-US" sz="1200" b="1" i="0" u="none" strike="noStrike">
                  <a:solidFill>
                    <a:srgbClr val="000000"/>
                  </a:solidFill>
                  <a:latin typeface="Calibri"/>
                  <a:ea typeface="Calibri"/>
                  <a:cs typeface="Calibri"/>
                </a:rPr>
                <a:pPr algn="ctr"/>
                <a:t>₹ 67,334</a:t>
              </a:fld>
              <a:endParaRPr lang="en-IN" sz="1200" b="1"/>
            </a:p>
          </xdr:txBody>
        </xdr:sp>
        <xdr:sp macro="" textlink="'DATA &amp; CALCULATIONS'!F11">
          <xdr:nvSpPr>
            <xdr:cNvPr id="9" name="Rectangle: Rounded Corners 8">
              <a:extLst>
                <a:ext uri="{FF2B5EF4-FFF2-40B4-BE49-F238E27FC236}">
                  <a16:creationId xmlns:a16="http://schemas.microsoft.com/office/drawing/2014/main" id="{DCB8BA2A-1A4C-45E5-83F4-8D5705C32809}"/>
                </a:ext>
              </a:extLst>
            </xdr:cNvPr>
            <xdr:cNvSpPr/>
          </xdr:nvSpPr>
          <xdr:spPr>
            <a:xfrm>
              <a:off x="701368" y="3610899"/>
              <a:ext cx="1761976" cy="908086"/>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1200" b="1" i="0" u="none" strike="noStrike">
                  <a:solidFill>
                    <a:srgbClr val="000000"/>
                  </a:solidFill>
                  <a:latin typeface="Calibri"/>
                  <a:ea typeface="Calibri"/>
                  <a:cs typeface="Calibri"/>
                </a:rPr>
                <a:t> </a:t>
              </a:r>
            </a:p>
            <a:p>
              <a:pPr algn="ctr"/>
              <a:r>
                <a:rPr lang="en-US" sz="1200" b="1" i="0" u="none" strike="noStrike">
                  <a:solidFill>
                    <a:srgbClr val="000000"/>
                  </a:solidFill>
                  <a:latin typeface="Calibri"/>
                  <a:ea typeface="Calibri"/>
                  <a:cs typeface="Calibri"/>
                </a:rPr>
                <a:t>AVG Amount</a:t>
              </a:r>
            </a:p>
            <a:p>
              <a:pPr algn="ctr"/>
              <a:r>
                <a:rPr lang="en-US" sz="1200" b="1" i="0" u="none" strike="noStrike">
                  <a:solidFill>
                    <a:srgbClr val="000000"/>
                  </a:solidFill>
                  <a:latin typeface="Calibri"/>
                  <a:ea typeface="Calibri"/>
                  <a:cs typeface="Calibri"/>
                </a:rPr>
                <a:t>       </a:t>
              </a:r>
              <a:fld id="{05E4ACDD-4D3F-468C-8136-212812525D68}" type="TxLink">
                <a:rPr lang="en-US" sz="1200" b="1" i="0" u="none" strike="noStrike">
                  <a:solidFill>
                    <a:srgbClr val="000000"/>
                  </a:solidFill>
                  <a:latin typeface="Calibri"/>
                  <a:ea typeface="Calibri"/>
                  <a:cs typeface="Calibri"/>
                </a:rPr>
                <a:pPr algn="ctr"/>
                <a:t>₹ 3,366.70</a:t>
              </a:fld>
              <a:endParaRPr lang="en-IN" sz="1200" b="1"/>
            </a:p>
          </xdr:txBody>
        </xdr:sp>
        <xdr:graphicFrame macro="">
          <xdr:nvGraphicFramePr>
            <xdr:cNvPr id="13" name="Chart 12">
              <a:extLst>
                <a:ext uri="{FF2B5EF4-FFF2-40B4-BE49-F238E27FC236}">
                  <a16:creationId xmlns:a16="http://schemas.microsoft.com/office/drawing/2014/main" id="{550D757F-002A-47EA-A87F-0A79C9796288}"/>
                </a:ext>
              </a:extLst>
            </xdr:cNvPr>
            <xdr:cNvGraphicFramePr>
              <a:graphicFrameLocks/>
            </xdr:cNvGraphicFramePr>
          </xdr:nvGraphicFramePr>
          <xdr:xfrm>
            <a:off x="2664956" y="1046789"/>
            <a:ext cx="4685649" cy="356369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4" name="Chart 13">
              <a:extLst>
                <a:ext uri="{FF2B5EF4-FFF2-40B4-BE49-F238E27FC236}">
                  <a16:creationId xmlns:a16="http://schemas.microsoft.com/office/drawing/2014/main" id="{B89CB4B9-27C4-4323-922C-FECE02FC8DE8}"/>
                </a:ext>
              </a:extLst>
            </xdr:cNvPr>
            <xdr:cNvGraphicFramePr>
              <a:graphicFrameLocks/>
            </xdr:cNvGraphicFramePr>
          </xdr:nvGraphicFramePr>
          <xdr:xfrm>
            <a:off x="7844206" y="2724118"/>
            <a:ext cx="3826128" cy="2072900"/>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mc:Choice xmlns:a14="http://schemas.microsoft.com/office/drawing/2010/main" Requires="a14">
            <xdr:graphicFrame macro="">
              <xdr:nvGraphicFramePr>
                <xdr:cNvPr id="16" name="DATE">
                  <a:extLst>
                    <a:ext uri="{FF2B5EF4-FFF2-40B4-BE49-F238E27FC236}">
                      <a16:creationId xmlns:a16="http://schemas.microsoft.com/office/drawing/2014/main" id="{0DD603FE-D284-4605-B34C-6BE084B3653E}"/>
                    </a:ext>
                  </a:extLst>
                </xdr:cNvPr>
                <xdr:cNvGraphicFramePr/>
              </xdr:nvGraphicFramePr>
              <xdr:xfrm>
                <a:off x="5198832" y="208055"/>
                <a:ext cx="1833512" cy="600833"/>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5331916" y="548572"/>
                  <a:ext cx="1843203" cy="593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7" name="CATEGORY">
                  <a:extLst>
                    <a:ext uri="{FF2B5EF4-FFF2-40B4-BE49-F238E27FC236}">
                      <a16:creationId xmlns:a16="http://schemas.microsoft.com/office/drawing/2014/main" id="{2349A520-93C2-40D9-AD45-2F24EB71C4E2}"/>
                    </a:ext>
                  </a:extLst>
                </xdr:cNvPr>
                <xdr:cNvGraphicFramePr/>
              </xdr:nvGraphicFramePr>
              <xdr:xfrm>
                <a:off x="12207867" y="314890"/>
                <a:ext cx="1612671" cy="2210974"/>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377996" y="654183"/>
                  <a:ext cx="1621194" cy="2185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9" name="Rectangle: Rounded Corners 18">
              <a:extLst>
                <a:ext uri="{FF2B5EF4-FFF2-40B4-BE49-F238E27FC236}">
                  <a16:creationId xmlns:a16="http://schemas.microsoft.com/office/drawing/2014/main" id="{8B543D08-EE1C-26F2-63A8-7F9035C26ED3}"/>
                </a:ext>
              </a:extLst>
            </xdr:cNvPr>
            <xdr:cNvSpPr/>
          </xdr:nvSpPr>
          <xdr:spPr>
            <a:xfrm>
              <a:off x="12277845" y="2710590"/>
              <a:ext cx="1262774" cy="307249"/>
            </a:xfrm>
            <a:prstGeom prst="round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IN" sz="1200" b="1"/>
                <a:t>Top 5 Expenses</a:t>
              </a:r>
            </a:p>
          </xdr:txBody>
        </xdr:sp>
        <xdr:graphicFrame macro="">
          <xdr:nvGraphicFramePr>
            <xdr:cNvPr id="20" name="Chart 19">
              <a:extLst>
                <a:ext uri="{FF2B5EF4-FFF2-40B4-BE49-F238E27FC236}">
                  <a16:creationId xmlns:a16="http://schemas.microsoft.com/office/drawing/2014/main" id="{86448763-66A5-4E4C-B1AB-71278C761F93}"/>
                </a:ext>
              </a:extLst>
            </xdr:cNvPr>
            <xdr:cNvGraphicFramePr>
              <a:graphicFrameLocks/>
            </xdr:cNvGraphicFramePr>
          </xdr:nvGraphicFramePr>
          <xdr:xfrm>
            <a:off x="7592196" y="208053"/>
            <a:ext cx="4458588" cy="2364463"/>
          </xdr:xfrm>
          <a:graphic>
            <a:graphicData uri="http://schemas.openxmlformats.org/drawingml/2006/chart">
              <c:chart xmlns:c="http://schemas.openxmlformats.org/drawingml/2006/chart" xmlns:r="http://schemas.openxmlformats.org/officeDocument/2006/relationships" r:id="rId3"/>
            </a:graphicData>
          </a:graphic>
        </xdr:graphicFrame>
      </xdr:grpSp>
      <xdr:pic>
        <xdr:nvPicPr>
          <xdr:cNvPr id="26" name="Picture 25">
            <a:extLst>
              <a:ext uri="{FF2B5EF4-FFF2-40B4-BE49-F238E27FC236}">
                <a16:creationId xmlns:a16="http://schemas.microsoft.com/office/drawing/2014/main" id="{90BACFF9-8BA0-AD2D-669A-3BB474DD50E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984181" y="3540605"/>
            <a:ext cx="2022302" cy="1293091"/>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293077</xdr:colOff>
      <xdr:row>2</xdr:row>
      <xdr:rowOff>26053</xdr:rowOff>
    </xdr:from>
    <xdr:to>
      <xdr:col>14</xdr:col>
      <xdr:colOff>306102</xdr:colOff>
      <xdr:row>20</xdr:row>
      <xdr:rowOff>13026</xdr:rowOff>
    </xdr:to>
    <xdr:grpSp>
      <xdr:nvGrpSpPr>
        <xdr:cNvPr id="4" name="Group 3">
          <a:extLst>
            <a:ext uri="{FF2B5EF4-FFF2-40B4-BE49-F238E27FC236}">
              <a16:creationId xmlns:a16="http://schemas.microsoft.com/office/drawing/2014/main" id="{E11D4DB6-0C1C-53F8-006D-3F89BF1BFA87}"/>
            </a:ext>
          </a:extLst>
        </xdr:cNvPr>
        <xdr:cNvGrpSpPr/>
      </xdr:nvGrpSpPr>
      <xdr:grpSpPr>
        <a:xfrm>
          <a:off x="903721" y="391395"/>
          <a:ext cx="7951395" cy="3275056"/>
          <a:chOff x="905282" y="390771"/>
          <a:chExt cx="7971692" cy="3269434"/>
        </a:xfrm>
      </xdr:grpSpPr>
      <xdr:sp macro="" textlink="">
        <xdr:nvSpPr>
          <xdr:cNvPr id="2" name="Rectangle: Rounded Corners 1">
            <a:extLst>
              <a:ext uri="{FF2B5EF4-FFF2-40B4-BE49-F238E27FC236}">
                <a16:creationId xmlns:a16="http://schemas.microsoft.com/office/drawing/2014/main" id="{E99F7E5B-D2E2-017B-6865-E2E215067A2E}"/>
              </a:ext>
            </a:extLst>
          </xdr:cNvPr>
          <xdr:cNvSpPr/>
        </xdr:nvSpPr>
        <xdr:spPr>
          <a:xfrm>
            <a:off x="905282" y="390771"/>
            <a:ext cx="7971692" cy="3269434"/>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l"/>
            <a:r>
              <a:rPr lang="en-IN" sz="1600" i="0"/>
              <a:t>-Total expenses recorded: </a:t>
            </a:r>
            <a:r>
              <a:rPr lang="en-IN" sz="1600" b="1" i="0"/>
              <a:t>₹67,334</a:t>
            </a:r>
            <a:r>
              <a:rPr lang="en-IN" sz="1600" i="0"/>
              <a:t> across </a:t>
            </a:r>
            <a:r>
              <a:rPr lang="en-IN" sz="1600" b="1" i="0"/>
              <a:t>20 transactions</a:t>
            </a:r>
            <a:r>
              <a:rPr lang="en-IN" sz="1600" i="0"/>
              <a:t>.</a:t>
            </a:r>
          </a:p>
          <a:p>
            <a:pPr algn="l"/>
            <a:r>
              <a:rPr lang="en-IN" sz="1600" i="0"/>
              <a:t> </a:t>
            </a:r>
          </a:p>
          <a:p>
            <a:pPr algn="l"/>
            <a:r>
              <a:rPr lang="en-IN" sz="1600" b="1" i="0"/>
              <a:t>-Shopping</a:t>
            </a:r>
            <a:r>
              <a:rPr lang="en-IN" sz="1600" i="0"/>
              <a:t> was the largest expense category (</a:t>
            </a:r>
            <a:r>
              <a:rPr lang="en-IN" sz="1600" b="1" i="0"/>
              <a:t>₹13,168 | 20%</a:t>
            </a:r>
            <a:r>
              <a:rPr lang="en-IN" sz="1600" i="0"/>
              <a:t>). </a:t>
            </a:r>
          </a:p>
          <a:p>
            <a:pPr algn="l"/>
            <a:endParaRPr lang="en-IN" sz="1600" i="0"/>
          </a:p>
          <a:p>
            <a:pPr algn="l"/>
            <a:r>
              <a:rPr lang="en-IN" sz="1600" b="1" i="0"/>
              <a:t>-Insurance</a:t>
            </a:r>
            <a:r>
              <a:rPr lang="en-IN" sz="1600" i="0"/>
              <a:t> had the lowest expenditure (</a:t>
            </a:r>
            <a:r>
              <a:rPr lang="en-IN" sz="1600" b="1" i="0"/>
              <a:t>₹3,065 | 4%</a:t>
            </a:r>
            <a:r>
              <a:rPr lang="en-IN" sz="1600" i="0"/>
              <a:t>). </a:t>
            </a:r>
          </a:p>
          <a:p>
            <a:pPr algn="l"/>
            <a:endParaRPr lang="en-IN" sz="1600" i="0"/>
          </a:p>
          <a:p>
            <a:pPr algn="l"/>
            <a:r>
              <a:rPr lang="en-IN" sz="1600" i="0"/>
              <a:t>-Peak spending occurred on </a:t>
            </a:r>
            <a:r>
              <a:rPr lang="en-IN" sz="1600" b="1" i="0"/>
              <a:t>07-Dec-2023</a:t>
            </a:r>
            <a:r>
              <a:rPr lang="en-IN" sz="1600" i="0"/>
              <a:t> (</a:t>
            </a:r>
            <a:r>
              <a:rPr lang="en-IN" sz="1600" b="1" i="0"/>
              <a:t>₹11,492</a:t>
            </a:r>
            <a:r>
              <a:rPr lang="en-IN" sz="1600" i="0"/>
              <a:t>). Average spend per transaction was </a:t>
            </a:r>
            <a:r>
              <a:rPr lang="en-IN" sz="1600" b="1" i="0"/>
              <a:t>₹3,366.70</a:t>
            </a:r>
            <a:r>
              <a:rPr lang="en-IN" sz="1600" i="0"/>
              <a:t>.</a:t>
            </a:r>
          </a:p>
        </xdr:txBody>
      </xdr:sp>
      <xdr:sp macro="" textlink="">
        <xdr:nvSpPr>
          <xdr:cNvPr id="3" name="Rectangle 2">
            <a:extLst>
              <a:ext uri="{FF2B5EF4-FFF2-40B4-BE49-F238E27FC236}">
                <a16:creationId xmlns:a16="http://schemas.microsoft.com/office/drawing/2014/main" id="{4496EB47-517E-9913-058A-E254A9184E8C}"/>
              </a:ext>
            </a:extLst>
          </xdr:cNvPr>
          <xdr:cNvSpPr/>
        </xdr:nvSpPr>
        <xdr:spPr>
          <a:xfrm>
            <a:off x="1439334" y="592667"/>
            <a:ext cx="3126154" cy="560102"/>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i="1">
                <a:latin typeface="Comic Sans MS" panose="030F0702030302020204" pitchFamily="66" charset="0"/>
              </a:rPr>
              <a:t>KEY INSIGHTS</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DA" refreshedDate="46210.214890972224" createdVersion="8" refreshedVersion="8" minRefreshableVersion="3" recordCount="20" xr:uid="{7B39F57F-66BD-4D55-B789-FF1AB9CC9FC7}">
  <cacheSource type="worksheet">
    <worksheetSource name="Table1"/>
  </cacheSource>
  <cacheFields count="4">
    <cacheField name="DATE" numFmtId="14">
      <sharedItems containsSemiMixedTypes="0" containsNonDate="0" containsDate="1" containsString="0" minDate="2023-12-07T00:00:00" maxDate="2023-12-17T00:00:00" count="9">
        <d v="2023-12-09T00:00:00"/>
        <d v="2023-12-11T00:00:00"/>
        <d v="2023-12-16T00:00:00"/>
        <d v="2023-12-07T00:00:00"/>
        <d v="2023-12-15T00:00:00"/>
        <d v="2023-12-13T00:00:00"/>
        <d v="2023-12-10T00:00:00"/>
        <d v="2023-12-08T00:00:00"/>
        <d v="2023-12-12T00:00:00"/>
      </sharedItems>
    </cacheField>
    <cacheField name="CATEGORY" numFmtId="0">
      <sharedItems count="7">
        <s v="BILLS"/>
        <s v="FOOD &amp; DINING "/>
        <s v="RENT"/>
        <s v="SHOPPING "/>
        <s v="TRASNPORT"/>
        <s v="HEALTHCARE"/>
        <s v="INSAURANCE"/>
      </sharedItems>
    </cacheField>
    <cacheField name="DESCRIPTION" numFmtId="0">
      <sharedItems count="7">
        <s v="WATER BIILL"/>
        <s v="LUNCH WD FAM"/>
        <s v="SHOP 1 RENT PAID "/>
        <s v="AIRPODS"/>
        <s v="DELHI TO MUMBAI"/>
        <s v="FAM CHECKUP"/>
        <s v="HEALTH INSAURANCE"/>
      </sharedItems>
    </cacheField>
    <cacheField name="AMOUNT" numFmtId="164">
      <sharedItems containsSemiMixedTypes="0" containsString="0" containsNumber="1" containsInteger="1" minValue="1049" maxValue="4805"/>
    </cacheField>
  </cacheFields>
  <extLst>
    <ext xmlns:x14="http://schemas.microsoft.com/office/spreadsheetml/2009/9/main" uri="{725AE2AE-9491-48be-B2B4-4EB974FC3084}">
      <x14:pivotCacheDefinition pivotCacheId="12225006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3000"/>
  </r>
  <r>
    <x v="1"/>
    <x v="1"/>
    <x v="1"/>
    <n v="1857"/>
  </r>
  <r>
    <x v="2"/>
    <x v="2"/>
    <x v="2"/>
    <n v="3240"/>
  </r>
  <r>
    <x v="3"/>
    <x v="3"/>
    <x v="3"/>
    <n v="4262"/>
  </r>
  <r>
    <x v="4"/>
    <x v="4"/>
    <x v="4"/>
    <n v="3876"/>
  </r>
  <r>
    <x v="2"/>
    <x v="5"/>
    <x v="5"/>
    <n v="3405"/>
  </r>
  <r>
    <x v="0"/>
    <x v="6"/>
    <x v="6"/>
    <n v="1049"/>
  </r>
  <r>
    <x v="0"/>
    <x v="0"/>
    <x v="0"/>
    <n v="2254"/>
  </r>
  <r>
    <x v="5"/>
    <x v="1"/>
    <x v="1"/>
    <n v="4805"/>
  </r>
  <r>
    <x v="1"/>
    <x v="2"/>
    <x v="2"/>
    <n v="1518"/>
  </r>
  <r>
    <x v="1"/>
    <x v="3"/>
    <x v="3"/>
    <n v="4307"/>
  </r>
  <r>
    <x v="5"/>
    <x v="4"/>
    <x v="4"/>
    <n v="4433"/>
  </r>
  <r>
    <x v="6"/>
    <x v="5"/>
    <x v="5"/>
    <n v="2383"/>
  </r>
  <r>
    <x v="6"/>
    <x v="6"/>
    <x v="6"/>
    <n v="2016"/>
  </r>
  <r>
    <x v="7"/>
    <x v="0"/>
    <x v="0"/>
    <n v="4059"/>
  </r>
  <r>
    <x v="8"/>
    <x v="1"/>
    <x v="1"/>
    <n v="4760"/>
  </r>
  <r>
    <x v="3"/>
    <x v="2"/>
    <x v="2"/>
    <n v="3852"/>
  </r>
  <r>
    <x v="2"/>
    <x v="3"/>
    <x v="3"/>
    <n v="4599"/>
  </r>
  <r>
    <x v="3"/>
    <x v="4"/>
    <x v="4"/>
    <n v="3378"/>
  </r>
  <r>
    <x v="8"/>
    <x v="5"/>
    <x v="5"/>
    <n v="42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7D577D-8865-4AEB-867F-0E80E756CE93}"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6:E24" firstHeaderRow="1" firstDataRow="1" firstDataCol="1"/>
  <pivotFields count="4">
    <pivotField numFmtId="14" showAll="0"/>
    <pivotField axis="axisRow" showAll="0">
      <items count="8">
        <item x="0"/>
        <item x="1"/>
        <item x="5"/>
        <item x="6"/>
        <item x="2"/>
        <item x="3"/>
        <item x="4"/>
        <item t="default"/>
      </items>
    </pivotField>
    <pivotField showAll="0"/>
    <pivotField dataField="1" numFmtId="164" showAll="0"/>
  </pivotFields>
  <rowFields count="1">
    <field x="1"/>
  </rowFields>
  <rowItems count="8">
    <i>
      <x/>
    </i>
    <i>
      <x v="1"/>
    </i>
    <i>
      <x v="2"/>
    </i>
    <i>
      <x v="3"/>
    </i>
    <i>
      <x v="4"/>
    </i>
    <i>
      <x v="5"/>
    </i>
    <i>
      <x v="6"/>
    </i>
    <i t="grand">
      <x/>
    </i>
  </rowItems>
  <colItems count="1">
    <i/>
  </colItems>
  <dataFields count="1">
    <dataField name="Sum of AMOUNT" fld="3" baseField="1" baseItem="0" numFmtId="164"/>
  </dataFields>
  <chartFormats count="8">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 chart="2" format="11">
      <pivotArea type="data" outline="0" fieldPosition="0">
        <references count="2">
          <reference field="4294967294" count="1" selected="0">
            <x v="0"/>
          </reference>
          <reference field="1" count="1" selected="0">
            <x v="1"/>
          </reference>
        </references>
      </pivotArea>
    </chartFormat>
    <chartFormat chart="2" format="12">
      <pivotArea type="data" outline="0" fieldPosition="0">
        <references count="2">
          <reference field="4294967294" count="1" selected="0">
            <x v="0"/>
          </reference>
          <reference field="1" count="1" selected="0">
            <x v="2"/>
          </reference>
        </references>
      </pivotArea>
    </chartFormat>
    <chartFormat chart="2" format="13">
      <pivotArea type="data" outline="0" fieldPosition="0">
        <references count="2">
          <reference field="4294967294" count="1" selected="0">
            <x v="0"/>
          </reference>
          <reference field="1" count="1" selected="0">
            <x v="3"/>
          </reference>
        </references>
      </pivotArea>
    </chartFormat>
    <chartFormat chart="2" format="14">
      <pivotArea type="data" outline="0" fieldPosition="0">
        <references count="2">
          <reference field="4294967294" count="1" selected="0">
            <x v="0"/>
          </reference>
          <reference field="1" count="1" selected="0">
            <x v="4"/>
          </reference>
        </references>
      </pivotArea>
    </chartFormat>
    <chartFormat chart="2" format="15">
      <pivotArea type="data" outline="0" fieldPosition="0">
        <references count="2">
          <reference field="4294967294" count="1" selected="0">
            <x v="0"/>
          </reference>
          <reference field="1" count="1" selected="0">
            <x v="5"/>
          </reference>
        </references>
      </pivotArea>
    </chartFormat>
    <chartFormat chart="2" format="16">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B9578A-1AC0-4B93-9825-D81999E7296C}"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3" firstHeaderRow="1" firstDataRow="1" firstDataCol="1"/>
  <pivotFields count="4">
    <pivotField axis="axisRow" numFmtId="14" showAll="0">
      <items count="10">
        <item x="3"/>
        <item x="7"/>
        <item x="0"/>
        <item x="6"/>
        <item x="1"/>
        <item x="8"/>
        <item x="5"/>
        <item x="4"/>
        <item x="2"/>
        <item t="default"/>
      </items>
    </pivotField>
    <pivotField showAll="0"/>
    <pivotField showAll="0"/>
    <pivotField dataField="1" numFmtId="164" showAll="0"/>
  </pivotFields>
  <rowFields count="1">
    <field x="0"/>
  </rowFields>
  <rowItems count="10">
    <i>
      <x/>
    </i>
    <i>
      <x v="1"/>
    </i>
    <i>
      <x v="2"/>
    </i>
    <i>
      <x v="3"/>
    </i>
    <i>
      <x v="4"/>
    </i>
    <i>
      <x v="5"/>
    </i>
    <i>
      <x v="6"/>
    </i>
    <i>
      <x v="7"/>
    </i>
    <i>
      <x v="8"/>
    </i>
    <i t="grand">
      <x/>
    </i>
  </rowItems>
  <colItems count="1">
    <i/>
  </colItems>
  <dataFields count="1">
    <dataField name="Sum of AMOUNT" fld="3"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8D6B8B-7C52-47CA-A310-A704AA31B7FF}"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4" firstHeaderRow="1" firstDataRow="1" firstDataCol="1"/>
  <pivotFields count="4">
    <pivotField numFmtId="14" showAll="0"/>
    <pivotField showAll="0"/>
    <pivotField axis="axisRow" showAll="0" sortType="ascending">
      <items count="8">
        <item x="3"/>
        <item x="4"/>
        <item x="5"/>
        <item x="6"/>
        <item x="1"/>
        <item x="2"/>
        <item x="0"/>
        <item t="default"/>
      </items>
    </pivotField>
    <pivotField dataField="1" numFmtId="164" showAll="0"/>
  </pivotFields>
  <rowFields count="1">
    <field x="2"/>
  </rowFields>
  <rowItems count="8">
    <i>
      <x/>
    </i>
    <i>
      <x v="1"/>
    </i>
    <i>
      <x v="2"/>
    </i>
    <i>
      <x v="3"/>
    </i>
    <i>
      <x v="4"/>
    </i>
    <i>
      <x v="5"/>
    </i>
    <i>
      <x v="6"/>
    </i>
    <i t="grand">
      <x/>
    </i>
  </rowItems>
  <colItems count="1">
    <i/>
  </colItems>
  <dataFields count="1">
    <dataField name="Sum of AMOUNT" fld="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938D05-018A-443C-8D0B-310BF9E1FB64}"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1" firstHeaderRow="1" firstDataRow="1" firstDataCol="1"/>
  <pivotFields count="4">
    <pivotField numFmtId="14" showAll="0"/>
    <pivotField axis="axisRow" showAll="0">
      <items count="8">
        <item x="0"/>
        <item x="1"/>
        <item x="5"/>
        <item x="6"/>
        <item x="2"/>
        <item x="3"/>
        <item x="4"/>
        <item t="default"/>
      </items>
    </pivotField>
    <pivotField showAll="0"/>
    <pivotField dataField="1" numFmtId="164" showAll="0"/>
  </pivotFields>
  <rowFields count="1">
    <field x="1"/>
  </rowFields>
  <rowItems count="8">
    <i>
      <x/>
    </i>
    <i>
      <x v="1"/>
    </i>
    <i>
      <x v="2"/>
    </i>
    <i>
      <x v="3"/>
    </i>
    <i>
      <x v="4"/>
    </i>
    <i>
      <x v="5"/>
    </i>
    <i>
      <x v="6"/>
    </i>
    <i t="grand">
      <x/>
    </i>
  </rowItems>
  <colItems count="1">
    <i/>
  </colItems>
  <dataFields count="1">
    <dataField name="Count of AMOUNT" fld="3" subtotal="count" baseField="1" baseItem="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8A6087-4F74-4C9D-8BD0-1E2961E8B150}"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ategory">
  <location ref="A3:B11" firstHeaderRow="1" firstDataRow="1" firstDataCol="1"/>
  <pivotFields count="4">
    <pivotField numFmtId="14" showAll="0">
      <items count="10">
        <item x="3"/>
        <item x="7"/>
        <item x="0"/>
        <item x="6"/>
        <item x="1"/>
        <item x="8"/>
        <item x="5"/>
        <item x="4"/>
        <item x="2"/>
        <item t="default"/>
      </items>
    </pivotField>
    <pivotField axis="axisRow" showAll="0">
      <items count="8">
        <item x="0"/>
        <item x="1"/>
        <item x="5"/>
        <item x="6"/>
        <item x="2"/>
        <item x="3"/>
        <item x="4"/>
        <item t="default"/>
      </items>
    </pivotField>
    <pivotField showAll="0"/>
    <pivotField dataField="1" numFmtId="164" showAll="0"/>
  </pivotFields>
  <rowFields count="1">
    <field x="1"/>
  </rowFields>
  <rowItems count="8">
    <i>
      <x/>
    </i>
    <i>
      <x v="1"/>
    </i>
    <i>
      <x v="2"/>
    </i>
    <i>
      <x v="3"/>
    </i>
    <i>
      <x v="4"/>
    </i>
    <i>
      <x v="5"/>
    </i>
    <i>
      <x v="6"/>
    </i>
    <i t="grand">
      <x/>
    </i>
  </rowItems>
  <colItems count="1">
    <i/>
  </colItems>
  <dataFields count="1">
    <dataField name="Sum of AMOUNT" fld="3"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CD7C6DD5-FE54-4A23-9CBA-4BDB78C83D5F}" sourceName="DATE">
  <pivotTables>
    <pivotTable tabId="5" name="PivotTable1"/>
  </pivotTables>
  <data>
    <tabular pivotCacheId="1222500686">
      <items count="9">
        <i x="3" s="1"/>
        <i x="7" s="1"/>
        <i x="0" s="1"/>
        <i x="6" s="1"/>
        <i x="1" s="1"/>
        <i x="8" s="1"/>
        <i x="5"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7313EFE-033C-4B71-AEC7-9339CFF68D70}" sourceName="CATEGORY">
  <pivotTables>
    <pivotTable tabId="5" name="PivotTable1"/>
  </pivotTables>
  <data>
    <tabular pivotCacheId="1222500686">
      <items count="7">
        <i x="0" s="1"/>
        <i x="1" s="1"/>
        <i x="5" s="1"/>
        <i x="6"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834CE591-9EF1-4D6B-93F2-91B4446EC71C}" cache="Slicer_DATE" caption="DATE" rowHeight="234950"/>
  <slicer name="CATEGORY" xr10:uid="{9E20EC07-4084-4E52-B84D-59F2310F3FF1}"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9D3AC6-E336-41FF-981C-0FE547D77D1F}" name="Table1" displayName="Table1" ref="A4:D24" totalsRowShown="0" headerRowDxfId="0" headerRowBorderDxfId="7" tableBorderDxfId="6" totalsRowBorderDxfId="5">
  <autoFilter ref="A4:D24" xr:uid="{BB9D3AC6-E336-41FF-981C-0FE547D77D1F}"/>
  <tableColumns count="4">
    <tableColumn id="1" xr3:uid="{646B416A-B2A9-41B1-B761-0015B2D9B209}" name="DATE" dataDxfId="4"/>
    <tableColumn id="2" xr3:uid="{1B9BB48F-05A9-4B11-B3DF-1C9323627DAB}" name="CATEGORY" dataDxfId="3"/>
    <tableColumn id="3" xr3:uid="{307517FB-E4EE-49D0-99B3-F37FE088C7F7}" name="DESCRIPTION" dataDxfId="2"/>
    <tableColumn id="4" xr3:uid="{C506C2F8-E2CE-469C-8086-B66FD432A710}" name="AMOUNT" data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92A1D-0182-4416-A666-101F2672C769}">
  <dimension ref="A4:I24"/>
  <sheetViews>
    <sheetView workbookViewId="0">
      <selection activeCell="H19" sqref="H19"/>
    </sheetView>
  </sheetViews>
  <sheetFormatPr defaultRowHeight="14.4" x14ac:dyDescent="0.3"/>
  <cols>
    <col min="1" max="1" width="10.33203125" bestFit="1" customWidth="1"/>
    <col min="2" max="2" width="14.77734375" bestFit="1" customWidth="1"/>
    <col min="3" max="3" width="19" bestFit="1" customWidth="1"/>
    <col min="4" max="4" width="13.44140625" bestFit="1" customWidth="1"/>
    <col min="6" max="6" width="16.5546875" bestFit="1" customWidth="1"/>
    <col min="7" max="7" width="14.77734375" bestFit="1" customWidth="1"/>
    <col min="8" max="8" width="19" bestFit="1" customWidth="1"/>
    <col min="9" max="9" width="10.44140625" bestFit="1" customWidth="1"/>
  </cols>
  <sheetData>
    <row r="4" spans="1:9" x14ac:dyDescent="0.3">
      <c r="A4" s="8" t="s">
        <v>0</v>
      </c>
      <c r="B4" s="9" t="s">
        <v>17</v>
      </c>
      <c r="C4" s="9" t="s">
        <v>1</v>
      </c>
      <c r="D4" s="10" t="s">
        <v>2</v>
      </c>
      <c r="F4" s="18" t="s">
        <v>18</v>
      </c>
      <c r="H4" s="20" t="s">
        <v>28</v>
      </c>
      <c r="I4" s="20" t="s">
        <v>2</v>
      </c>
    </row>
    <row r="5" spans="1:9" x14ac:dyDescent="0.3">
      <c r="A5" s="2">
        <v>45269</v>
      </c>
      <c r="B5" s="1" t="s">
        <v>3</v>
      </c>
      <c r="C5" s="1" t="s">
        <v>10</v>
      </c>
      <c r="D5" s="3">
        <v>3000</v>
      </c>
      <c r="F5" s="17">
        <f>SUM(Table1[AMOUNT])</f>
        <v>67334</v>
      </c>
      <c r="H5" s="19" t="s">
        <v>13</v>
      </c>
      <c r="I5" s="21">
        <f>SUMIFS(Table1[AMOUNT],Table1[DESCRIPTION],H5)</f>
        <v>13168</v>
      </c>
    </row>
    <row r="6" spans="1:9" x14ac:dyDescent="0.3">
      <c r="A6" s="2">
        <v>45271</v>
      </c>
      <c r="B6" s="1" t="s">
        <v>4</v>
      </c>
      <c r="C6" s="1" t="s">
        <v>11</v>
      </c>
      <c r="D6" s="3">
        <v>1857</v>
      </c>
      <c r="H6" s="19" t="s">
        <v>14</v>
      </c>
      <c r="I6" s="21">
        <f>SUMIFS(Table1[AMOUNT],Table1[DESCRIPTION],H6)</f>
        <v>11687</v>
      </c>
    </row>
    <row r="7" spans="1:9" x14ac:dyDescent="0.3">
      <c r="A7" s="2">
        <v>45276</v>
      </c>
      <c r="B7" s="1" t="s">
        <v>5</v>
      </c>
      <c r="C7" s="1" t="s">
        <v>12</v>
      </c>
      <c r="D7" s="3">
        <v>3240</v>
      </c>
      <c r="F7" s="18" t="s">
        <v>19</v>
      </c>
      <c r="H7" s="19" t="s">
        <v>11</v>
      </c>
      <c r="I7" s="21">
        <f>SUMIFS(Table1[AMOUNT],Table1[DESCRIPTION],H7)</f>
        <v>11422</v>
      </c>
    </row>
    <row r="8" spans="1:9" x14ac:dyDescent="0.3">
      <c r="A8" s="2">
        <v>45267</v>
      </c>
      <c r="B8" s="1" t="s">
        <v>6</v>
      </c>
      <c r="C8" s="1" t="s">
        <v>13</v>
      </c>
      <c r="D8" s="3">
        <v>4262</v>
      </c>
      <c r="F8" s="16">
        <f>COUNT(Table1[AMOUNT])</f>
        <v>20</v>
      </c>
      <c r="H8" s="19" t="s">
        <v>16</v>
      </c>
      <c r="I8" s="21">
        <f>SUMIFS(Table1[AMOUNT],Table1[DESCRIPTION],H8)</f>
        <v>10069</v>
      </c>
    </row>
    <row r="9" spans="1:9" x14ac:dyDescent="0.3">
      <c r="A9" s="2">
        <v>45275</v>
      </c>
      <c r="B9" s="1" t="s">
        <v>7</v>
      </c>
      <c r="C9" s="1" t="s">
        <v>14</v>
      </c>
      <c r="D9" s="3">
        <v>3876</v>
      </c>
      <c r="H9" s="19" t="s">
        <v>10</v>
      </c>
      <c r="I9" s="21">
        <f>SUMIFS(Table1[AMOUNT],Table1[DESCRIPTION],H9)</f>
        <v>9313</v>
      </c>
    </row>
    <row r="10" spans="1:9" x14ac:dyDescent="0.3">
      <c r="A10" s="2">
        <v>45276</v>
      </c>
      <c r="B10" s="1" t="s">
        <v>8</v>
      </c>
      <c r="C10" s="1" t="s">
        <v>16</v>
      </c>
      <c r="D10" s="3">
        <v>3405</v>
      </c>
      <c r="F10" s="18" t="s">
        <v>20</v>
      </c>
      <c r="H10" s="19" t="s">
        <v>12</v>
      </c>
      <c r="I10" s="21">
        <f>SUMIFS(Table1[AMOUNT],Table1[DESCRIPTION],H10)</f>
        <v>8610</v>
      </c>
    </row>
    <row r="11" spans="1:9" x14ac:dyDescent="0.3">
      <c r="A11" s="2">
        <v>45269</v>
      </c>
      <c r="B11" s="1" t="s">
        <v>9</v>
      </c>
      <c r="C11" s="1" t="s">
        <v>15</v>
      </c>
      <c r="D11" s="3">
        <v>1049</v>
      </c>
      <c r="F11" s="7">
        <f>AVERAGE(Table1[AMOUNT])</f>
        <v>3366.7</v>
      </c>
      <c r="H11" s="19" t="s">
        <v>15</v>
      </c>
      <c r="I11" s="21">
        <f>SUMIFS(Table1[AMOUNT],Table1[DESCRIPTION],H11)</f>
        <v>3065</v>
      </c>
    </row>
    <row r="12" spans="1:9" x14ac:dyDescent="0.3">
      <c r="A12" s="2">
        <v>45269</v>
      </c>
      <c r="B12" s="1" t="s">
        <v>3</v>
      </c>
      <c r="C12" s="1" t="s">
        <v>10</v>
      </c>
      <c r="D12" s="3">
        <v>2254</v>
      </c>
    </row>
    <row r="13" spans="1:9" x14ac:dyDescent="0.3">
      <c r="A13" s="2">
        <v>45273</v>
      </c>
      <c r="B13" s="1" t="s">
        <v>4</v>
      </c>
      <c r="C13" s="1" t="s">
        <v>11</v>
      </c>
      <c r="D13" s="3">
        <v>4805</v>
      </c>
      <c r="F13" s="18" t="s">
        <v>21</v>
      </c>
    </row>
    <row r="14" spans="1:9" x14ac:dyDescent="0.3">
      <c r="A14" s="2">
        <v>45271</v>
      </c>
      <c r="B14" s="1" t="s">
        <v>5</v>
      </c>
      <c r="C14" s="1" t="s">
        <v>12</v>
      </c>
      <c r="D14" s="3">
        <v>1518</v>
      </c>
      <c r="F14" s="7">
        <f>MAX(Table1[AMOUNT])</f>
        <v>4805</v>
      </c>
    </row>
    <row r="15" spans="1:9" x14ac:dyDescent="0.3">
      <c r="A15" s="2">
        <v>45271</v>
      </c>
      <c r="B15" s="1" t="s">
        <v>6</v>
      </c>
      <c r="C15" s="1" t="s">
        <v>13</v>
      </c>
      <c r="D15" s="3">
        <v>4307</v>
      </c>
    </row>
    <row r="16" spans="1:9" x14ac:dyDescent="0.3">
      <c r="A16" s="2">
        <v>45273</v>
      </c>
      <c r="B16" s="1" t="s">
        <v>7</v>
      </c>
      <c r="C16" s="1" t="s">
        <v>14</v>
      </c>
      <c r="D16" s="3">
        <v>4433</v>
      </c>
      <c r="F16" s="18" t="s">
        <v>22</v>
      </c>
    </row>
    <row r="17" spans="1:6" x14ac:dyDescent="0.3">
      <c r="A17" s="2">
        <v>45270</v>
      </c>
      <c r="B17" s="1" t="s">
        <v>8</v>
      </c>
      <c r="C17" s="1" t="s">
        <v>16</v>
      </c>
      <c r="D17" s="3">
        <v>2383</v>
      </c>
      <c r="F17" s="7">
        <f>MIN(Table1[AMOUNT])</f>
        <v>1049</v>
      </c>
    </row>
    <row r="18" spans="1:6" x14ac:dyDescent="0.3">
      <c r="A18" s="2">
        <v>45270</v>
      </c>
      <c r="B18" s="1" t="s">
        <v>9</v>
      </c>
      <c r="C18" s="1" t="s">
        <v>15</v>
      </c>
      <c r="D18" s="3">
        <v>2016</v>
      </c>
    </row>
    <row r="19" spans="1:6" x14ac:dyDescent="0.3">
      <c r="A19" s="2">
        <v>45268</v>
      </c>
      <c r="B19" s="1" t="s">
        <v>3</v>
      </c>
      <c r="C19" s="1" t="s">
        <v>10</v>
      </c>
      <c r="D19" s="3">
        <v>4059</v>
      </c>
    </row>
    <row r="20" spans="1:6" x14ac:dyDescent="0.3">
      <c r="A20" s="2">
        <v>45272</v>
      </c>
      <c r="B20" s="1" t="s">
        <v>4</v>
      </c>
      <c r="C20" s="1" t="s">
        <v>11</v>
      </c>
      <c r="D20" s="3">
        <v>4760</v>
      </c>
    </row>
    <row r="21" spans="1:6" x14ac:dyDescent="0.3">
      <c r="A21" s="2">
        <v>45267</v>
      </c>
      <c r="B21" s="1" t="s">
        <v>5</v>
      </c>
      <c r="C21" s="1" t="s">
        <v>12</v>
      </c>
      <c r="D21" s="3">
        <v>3852</v>
      </c>
    </row>
    <row r="22" spans="1:6" x14ac:dyDescent="0.3">
      <c r="A22" s="2">
        <v>45276</v>
      </c>
      <c r="B22" s="1" t="s">
        <v>6</v>
      </c>
      <c r="C22" s="1" t="s">
        <v>13</v>
      </c>
      <c r="D22" s="3">
        <v>4599</v>
      </c>
    </row>
    <row r="23" spans="1:6" x14ac:dyDescent="0.3">
      <c r="A23" s="2">
        <v>45267</v>
      </c>
      <c r="B23" s="1" t="s">
        <v>7</v>
      </c>
      <c r="C23" s="1" t="s">
        <v>14</v>
      </c>
      <c r="D23" s="3">
        <v>3378</v>
      </c>
    </row>
    <row r="24" spans="1:6" x14ac:dyDescent="0.3">
      <c r="A24" s="4">
        <v>45272</v>
      </c>
      <c r="B24" s="5" t="s">
        <v>8</v>
      </c>
      <c r="C24" s="5" t="s">
        <v>16</v>
      </c>
      <c r="D24" s="6">
        <v>4281</v>
      </c>
    </row>
  </sheetData>
  <sortState xmlns:xlrd2="http://schemas.microsoft.com/office/spreadsheetml/2017/richdata2" ref="H5:I11">
    <sortCondition descending="1" ref="I5:I11"/>
  </sortState>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EDB07-F640-4F87-B1B3-31FC952410A2}">
  <dimension ref="A3:H24"/>
  <sheetViews>
    <sheetView workbookViewId="0">
      <selection activeCell="G17" sqref="G17"/>
    </sheetView>
  </sheetViews>
  <sheetFormatPr defaultRowHeight="14.4" x14ac:dyDescent="0.3"/>
  <cols>
    <col min="1" max="1" width="14.77734375" bestFit="1" customWidth="1"/>
    <col min="2" max="2" width="15.5546875" bestFit="1" customWidth="1"/>
    <col min="4" max="4" width="12.5546875" bestFit="1" customWidth="1"/>
    <col min="5" max="5" width="15.5546875" bestFit="1" customWidth="1"/>
    <col min="6" max="6" width="22.21875" bestFit="1" customWidth="1"/>
    <col min="7" max="7" width="14.77734375" bestFit="1" customWidth="1"/>
    <col min="8" max="8" width="16.88671875" bestFit="1" customWidth="1"/>
    <col min="9" max="9" width="15.5546875" bestFit="1" customWidth="1"/>
  </cols>
  <sheetData>
    <row r="3" spans="1:8" x14ac:dyDescent="0.3">
      <c r="A3" s="12" t="s">
        <v>27</v>
      </c>
      <c r="B3" t="s">
        <v>25</v>
      </c>
      <c r="D3" s="12" t="s">
        <v>23</v>
      </c>
      <c r="E3" t="s">
        <v>25</v>
      </c>
      <c r="G3" s="12" t="s">
        <v>23</v>
      </c>
      <c r="H3" t="s">
        <v>26</v>
      </c>
    </row>
    <row r="4" spans="1:8" x14ac:dyDescent="0.3">
      <c r="A4" s="13" t="s">
        <v>3</v>
      </c>
      <c r="B4" s="11">
        <v>9313</v>
      </c>
      <c r="D4" s="14">
        <v>45267</v>
      </c>
      <c r="E4" s="11">
        <v>11492</v>
      </c>
      <c r="G4" s="13" t="s">
        <v>3</v>
      </c>
      <c r="H4" s="15">
        <v>3</v>
      </c>
    </row>
    <row r="5" spans="1:8" x14ac:dyDescent="0.3">
      <c r="A5" s="13" t="s">
        <v>4</v>
      </c>
      <c r="B5" s="11">
        <v>11422</v>
      </c>
      <c r="D5" s="14">
        <v>45268</v>
      </c>
      <c r="E5" s="11">
        <v>4059</v>
      </c>
      <c r="G5" s="13" t="s">
        <v>4</v>
      </c>
      <c r="H5" s="15">
        <v>3</v>
      </c>
    </row>
    <row r="6" spans="1:8" x14ac:dyDescent="0.3">
      <c r="A6" s="13" t="s">
        <v>8</v>
      </c>
      <c r="B6" s="11">
        <v>10069</v>
      </c>
      <c r="D6" s="14">
        <v>45269</v>
      </c>
      <c r="E6" s="11">
        <v>6303</v>
      </c>
      <c r="G6" s="13" t="s">
        <v>8</v>
      </c>
      <c r="H6" s="15">
        <v>3</v>
      </c>
    </row>
    <row r="7" spans="1:8" x14ac:dyDescent="0.3">
      <c r="A7" s="13" t="s">
        <v>9</v>
      </c>
      <c r="B7" s="11">
        <v>3065</v>
      </c>
      <c r="D7" s="14">
        <v>45270</v>
      </c>
      <c r="E7" s="11">
        <v>4399</v>
      </c>
      <c r="G7" s="13" t="s">
        <v>9</v>
      </c>
      <c r="H7" s="15">
        <v>2</v>
      </c>
    </row>
    <row r="8" spans="1:8" x14ac:dyDescent="0.3">
      <c r="A8" s="13" t="s">
        <v>5</v>
      </c>
      <c r="B8" s="11">
        <v>8610</v>
      </c>
      <c r="D8" s="14">
        <v>45271</v>
      </c>
      <c r="E8" s="11">
        <v>7682</v>
      </c>
      <c r="G8" s="13" t="s">
        <v>5</v>
      </c>
      <c r="H8" s="15">
        <v>3</v>
      </c>
    </row>
    <row r="9" spans="1:8" x14ac:dyDescent="0.3">
      <c r="A9" s="13" t="s">
        <v>6</v>
      </c>
      <c r="B9" s="11">
        <v>13168</v>
      </c>
      <c r="D9" s="14">
        <v>45272</v>
      </c>
      <c r="E9" s="11">
        <v>9041</v>
      </c>
      <c r="G9" s="13" t="s">
        <v>6</v>
      </c>
      <c r="H9" s="15">
        <v>3</v>
      </c>
    </row>
    <row r="10" spans="1:8" x14ac:dyDescent="0.3">
      <c r="A10" s="13" t="s">
        <v>7</v>
      </c>
      <c r="B10" s="11">
        <v>11687</v>
      </c>
      <c r="D10" s="14">
        <v>45273</v>
      </c>
      <c r="E10" s="11">
        <v>9238</v>
      </c>
      <c r="G10" s="13" t="s">
        <v>7</v>
      </c>
      <c r="H10" s="15">
        <v>3</v>
      </c>
    </row>
    <row r="11" spans="1:8" x14ac:dyDescent="0.3">
      <c r="A11" s="13" t="s">
        <v>24</v>
      </c>
      <c r="B11" s="11">
        <v>67334</v>
      </c>
      <c r="D11" s="14">
        <v>45275</v>
      </c>
      <c r="E11" s="11">
        <v>3876</v>
      </c>
      <c r="G11" s="13" t="s">
        <v>24</v>
      </c>
      <c r="H11" s="15">
        <v>20</v>
      </c>
    </row>
    <row r="12" spans="1:8" x14ac:dyDescent="0.3">
      <c r="D12" s="14">
        <v>45276</v>
      </c>
      <c r="E12" s="11">
        <v>11244</v>
      </c>
    </row>
    <row r="13" spans="1:8" x14ac:dyDescent="0.3">
      <c r="D13" s="14" t="s">
        <v>24</v>
      </c>
      <c r="E13" s="11">
        <v>67334</v>
      </c>
    </row>
    <row r="16" spans="1:8" x14ac:dyDescent="0.3">
      <c r="A16" s="12" t="s">
        <v>23</v>
      </c>
      <c r="B16" t="s">
        <v>25</v>
      </c>
      <c r="D16" s="12" t="s">
        <v>23</v>
      </c>
      <c r="E16" t="s">
        <v>25</v>
      </c>
    </row>
    <row r="17" spans="1:5" x14ac:dyDescent="0.3">
      <c r="A17" s="13" t="s">
        <v>13</v>
      </c>
      <c r="B17" s="11">
        <v>13168</v>
      </c>
      <c r="D17" s="13" t="s">
        <v>3</v>
      </c>
      <c r="E17" s="11">
        <v>9313</v>
      </c>
    </row>
    <row r="18" spans="1:5" x14ac:dyDescent="0.3">
      <c r="A18" s="13" t="s">
        <v>14</v>
      </c>
      <c r="B18" s="11">
        <v>11687</v>
      </c>
      <c r="D18" s="13" t="s">
        <v>4</v>
      </c>
      <c r="E18" s="11">
        <v>11422</v>
      </c>
    </row>
    <row r="19" spans="1:5" x14ac:dyDescent="0.3">
      <c r="A19" s="13" t="s">
        <v>16</v>
      </c>
      <c r="B19" s="11">
        <v>10069</v>
      </c>
      <c r="D19" s="13" t="s">
        <v>8</v>
      </c>
      <c r="E19" s="11">
        <v>10069</v>
      </c>
    </row>
    <row r="20" spans="1:5" x14ac:dyDescent="0.3">
      <c r="A20" s="13" t="s">
        <v>15</v>
      </c>
      <c r="B20" s="11">
        <v>3065</v>
      </c>
      <c r="D20" s="13" t="s">
        <v>9</v>
      </c>
      <c r="E20" s="11">
        <v>3065</v>
      </c>
    </row>
    <row r="21" spans="1:5" x14ac:dyDescent="0.3">
      <c r="A21" s="13" t="s">
        <v>11</v>
      </c>
      <c r="B21" s="11">
        <v>11422</v>
      </c>
      <c r="D21" s="13" t="s">
        <v>5</v>
      </c>
      <c r="E21" s="11">
        <v>8610</v>
      </c>
    </row>
    <row r="22" spans="1:5" x14ac:dyDescent="0.3">
      <c r="A22" s="13" t="s">
        <v>12</v>
      </c>
      <c r="B22" s="11">
        <v>8610</v>
      </c>
      <c r="D22" s="13" t="s">
        <v>6</v>
      </c>
      <c r="E22" s="11">
        <v>13168</v>
      </c>
    </row>
    <row r="23" spans="1:5" x14ac:dyDescent="0.3">
      <c r="A23" s="13" t="s">
        <v>10</v>
      </c>
      <c r="B23" s="11">
        <v>9313</v>
      </c>
      <c r="D23" s="13" t="s">
        <v>7</v>
      </c>
      <c r="E23" s="11">
        <v>11687</v>
      </c>
    </row>
    <row r="24" spans="1:5" x14ac:dyDescent="0.3">
      <c r="A24" s="13" t="s">
        <v>24</v>
      </c>
      <c r="B24" s="11">
        <v>67334</v>
      </c>
      <c r="D24" s="13" t="s">
        <v>24</v>
      </c>
      <c r="E24" s="11">
        <v>67334</v>
      </c>
    </row>
  </sheetData>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5F5F3-9D07-44AE-A4B7-E22601EE77FD}">
  <dimension ref="A1"/>
  <sheetViews>
    <sheetView showGridLines="0" showRowColHeaders="0" tabSelected="1" zoomScale="96" zoomScaleNormal="96" workbookViewId="0">
      <selection activeCell="X10" sqref="X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A82-7205-4DAC-A457-4E629CB30FC1}">
  <dimension ref="A1"/>
  <sheetViews>
    <sheetView showGridLines="0" showRowColHeaders="0" topLeftCell="B1" zoomScale="146" zoomScaleNormal="146" workbookViewId="0">
      <selection activeCell="P5" sqref="P5"/>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&amp; CALCULATIONS</vt:lpstr>
      <vt:lpstr>PIVOT TABLES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shubhadachandarki89@gmail.com</dc:creator>
  <cp:lastModifiedBy>shubhadachandarki89@gmail.com</cp:lastModifiedBy>
  <cp:lastPrinted>2026-07-03T12:03:15Z</cp:lastPrinted>
  <dcterms:created xsi:type="dcterms:W3CDTF">2026-01-30T09:39:38Z</dcterms:created>
  <dcterms:modified xsi:type="dcterms:W3CDTF">2026-07-07T00:06:09Z</dcterms:modified>
</cp:coreProperties>
</file>